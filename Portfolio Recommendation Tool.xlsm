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39cbf3b0fed6b403/Documents/CODE/GitHub Repo/Rcecommenation-Tool/"/>
    </mc:Choice>
  </mc:AlternateContent>
  <xr:revisionPtr revIDLastSave="29" documentId="13_ncr:1_{E8C8A70E-0965-476A-814D-7E160AF57433}" xr6:coauthVersionLast="47" xr6:coauthVersionMax="47" xr10:uidLastSave="{5002EDD8-3921-4035-AEEB-ACF60EF59589}"/>
  <bookViews>
    <workbookView xWindow="-93" yWindow="-93" windowWidth="19386" windowHeight="12186" xr2:uid="{B5CB011F-CC88-4ABD-9A50-36F4F30BBB6A}"/>
  </bookViews>
  <sheets>
    <sheet name="OverView" sheetId="1" r:id="rId1"/>
    <sheet name="Dash_Board" sheetId="3" r:id="rId2"/>
    <sheet name="Funds" sheetId="2" r:id="rId3"/>
  </sheets>
  <functionGroups builtInGroupCount="19"/>
  <definedNames>
    <definedName name="FundSuggestions">Funds!$A$2:$A$4</definedName>
    <definedName name="Goal_Amount">OverView!$B$4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" i="1" l="1"/>
  <c r="B13" i="3"/>
  <c r="B15" i="3"/>
  <c r="B14" i="3"/>
  <c r="B11" i="3"/>
  <c r="B3" i="2"/>
  <c r="B10" i="3"/>
  <c r="A1" i="3"/>
  <c r="F1" i="1"/>
  <c r="A7" i="3"/>
  <c r="A4" i="3"/>
  <c r="A2" i="3"/>
  <c r="A3" i="3"/>
  <c r="B12" i="3" l="1"/>
  <c r="A5" i="3"/>
  <c r="A6" i="3"/>
</calcChain>
</file>

<file path=xl/sharedStrings.xml><?xml version="1.0" encoding="utf-8"?>
<sst xmlns="http://schemas.openxmlformats.org/spreadsheetml/2006/main" count="22" uniqueCount="21">
  <si>
    <t>Investment Amount</t>
  </si>
  <si>
    <t>Goal Amount</t>
  </si>
  <si>
    <t>Time Horizon (Years)</t>
  </si>
  <si>
    <t>Risk Appetite</t>
  </si>
  <si>
    <t>Suggested Funds</t>
  </si>
  <si>
    <t>Low</t>
  </si>
  <si>
    <t>Medium</t>
  </si>
  <si>
    <t>High</t>
  </si>
  <si>
    <t>Quant Active Dir Growth</t>
  </si>
  <si>
    <t>ICICI Pru Nifty 50 Index Dir Growth</t>
  </si>
  <si>
    <t>Date</t>
  </si>
  <si>
    <t>Close Price</t>
  </si>
  <si>
    <t>Historic Return</t>
  </si>
  <si>
    <t>Expected Return</t>
  </si>
  <si>
    <t>Fixed Income</t>
  </si>
  <si>
    <t>Government Bonds</t>
  </si>
  <si>
    <t>Your Name</t>
  </si>
  <si>
    <t>Remarks:::</t>
  </si>
  <si>
    <t>/Year</t>
  </si>
  <si>
    <t xml:space="preserve">Arpit </t>
  </si>
  <si>
    <t>Parag Parikh Long Term Equity Direct Growth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</si>
</sst>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8" formatCode="&quot;₹&quot;\ #,##0.00;[Red]&quot;₹&quot;\ \-#,##0.0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 tint="4.9989318521683403E-2"/>
      <name val="Calibri"/>
      <family val="2"/>
      <scheme val="minor"/>
    </font>
    <font>
      <sz val="11"/>
      <color theme="1"/>
      <name val="Bahnschrift SemiCondensed"/>
      <family val="2"/>
    </font>
    <font>
      <sz val="11"/>
      <color theme="1" tint="0.249977111117893"/>
      <name val="Bahnschrift SemiCondensed"/>
      <family val="2"/>
    </font>
    <font>
      <b/>
      <sz val="11"/>
      <color theme="9" tint="-0.499984740745262"/>
      <name val="Aptos Display"/>
      <family val="2"/>
    </font>
  </fonts>
  <fills count="8">
    <fill>
      <patternFill patternType="none"/>
    </fill>
    <fill>
      <patternFill patternType="gray125"/>
    </fill>
    <fill>
      <patternFill patternType="solid">
        <fgColor rgb="FFFF99CC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1" fillId="0" borderId="0" xfId="0" applyFont="1" applyAlignment="1">
      <alignment vertical="center" wrapText="1"/>
    </xf>
    <xf numFmtId="0" fontId="2" fillId="2" borderId="0" xfId="0" applyFont="1" applyFill="1"/>
    <xf numFmtId="0" fontId="0" fillId="3" borderId="0" xfId="0" applyFill="1"/>
    <xf numFmtId="0" fontId="0" fillId="4" borderId="0" xfId="0" applyFill="1"/>
    <xf numFmtId="0" fontId="1" fillId="4" borderId="0" xfId="0" applyFont="1" applyFill="1" applyAlignment="1">
      <alignment horizontal="right"/>
    </xf>
    <xf numFmtId="0" fontId="0" fillId="0" borderId="0" xfId="0" applyAlignment="1">
      <alignment horizontal="left"/>
    </xf>
    <xf numFmtId="8" fontId="0" fillId="0" borderId="0" xfId="0" applyNumberFormat="1" applyAlignment="1">
      <alignment horizontal="left"/>
    </xf>
    <xf numFmtId="2" fontId="0" fillId="0" borderId="0" xfId="0" applyNumberFormat="1"/>
    <xf numFmtId="0" fontId="3" fillId="0" borderId="0" xfId="0" applyFont="1"/>
    <xf numFmtId="0" fontId="0" fillId="5" borderId="0" xfId="0" applyFill="1"/>
    <xf numFmtId="0" fontId="4" fillId="6" borderId="0" xfId="0" applyFont="1" applyFill="1"/>
    <xf numFmtId="0" fontId="1" fillId="4" borderId="0" xfId="0" applyFont="1" applyFill="1"/>
    <xf numFmtId="0" fontId="1" fillId="4" borderId="0" xfId="0" applyFont="1" applyFill="1" applyAlignment="1">
      <alignment wrapText="1"/>
    </xf>
    <xf numFmtId="0" fontId="1" fillId="7" borderId="0" xfId="0" applyFont="1" applyFill="1"/>
    <xf numFmtId="9" fontId="5" fillId="4" borderId="0" xfId="0" applyNumberFormat="1" applyFont="1" applyFill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99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33867</xdr:colOff>
      <xdr:row>5</xdr:row>
      <xdr:rowOff>21166</xdr:rowOff>
    </xdr:from>
    <xdr:to>
      <xdr:col>0</xdr:col>
      <xdr:colOff>897467</xdr:colOff>
      <xdr:row>6</xdr:row>
      <xdr:rowOff>55133</xdr:rowOff>
    </xdr:to>
    <xdr:sp macro="[0]!SuggestFund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389A1F15-ACA7-259D-0343-2D37279219B2}"/>
            </a:ext>
          </a:extLst>
        </xdr:cNvPr>
        <xdr:cNvSpPr/>
      </xdr:nvSpPr>
      <xdr:spPr>
        <a:xfrm>
          <a:off x="33867" y="931333"/>
          <a:ext cx="863600" cy="216000"/>
        </a:xfrm>
        <a:prstGeom prst="roundRect">
          <a:avLst/>
        </a:prstGeom>
        <a:scene3d>
          <a:camera prst="orthographicFront"/>
          <a:lightRig rig="threePt" dir="t"/>
        </a:scene3d>
        <a:sp3d>
          <a:bevelT w="152400" h="50800" prst="softRound"/>
          <a:bevelB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rIns="144000" rtlCol="0" anchor="t"/>
        <a:lstStyle/>
        <a:p>
          <a:pPr algn="l"/>
          <a:r>
            <a:rPr lang="en-US" sz="800" b="1">
              <a:ln>
                <a:noFill/>
              </a:ln>
              <a:pattFill prst="pct5">
                <a:fgClr>
                  <a:schemeClr val="accent1">
                    <a:lumMod val="60000"/>
                    <a:lumOff val="40000"/>
                  </a:schemeClr>
                </a:fgClr>
                <a:bgClr>
                  <a:schemeClr val="bg1"/>
                </a:bgClr>
              </a:pattFill>
              <a:effectLst>
                <a:glow rad="228600">
                  <a:schemeClr val="tx2">
                    <a:lumMod val="40000"/>
                    <a:lumOff val="60000"/>
                    <a:alpha val="40000"/>
                  </a:schemeClr>
                </a:glow>
                <a:outerShdw blurRad="50800" dist="50800" dir="5400000" algn="ctr" rotWithShape="0">
                  <a:schemeClr val="accent3">
                    <a:lumMod val="20000"/>
                    <a:lumOff val="80000"/>
                  </a:schemeClr>
                </a:outerShdw>
              </a:effectLst>
            </a:rPr>
            <a:t>Suggest</a:t>
          </a:r>
          <a:r>
            <a:rPr lang="en-US" sz="1100">
              <a:ln>
                <a:noFill/>
              </a:ln>
              <a:pattFill prst="pct5">
                <a:fgClr>
                  <a:schemeClr val="accent1">
                    <a:lumMod val="60000"/>
                    <a:lumOff val="40000"/>
                  </a:schemeClr>
                </a:fgClr>
                <a:bgClr>
                  <a:schemeClr val="bg1"/>
                </a:bgClr>
              </a:pattFill>
              <a:effectLst>
                <a:glow rad="228600">
                  <a:schemeClr val="tx2">
                    <a:lumMod val="40000"/>
                    <a:lumOff val="60000"/>
                    <a:alpha val="40000"/>
                  </a:schemeClr>
                </a:glow>
                <a:outerShdw blurRad="50800" dist="50800" dir="5400000" algn="ctr" rotWithShape="0">
                  <a:schemeClr val="accent3">
                    <a:lumMod val="20000"/>
                    <a:lumOff val="80000"/>
                  </a:schemeClr>
                </a:outerShdw>
              </a:effectLst>
            </a:rPr>
            <a:t> </a:t>
          </a:r>
          <a:r>
            <a:rPr lang="en-US" sz="800">
              <a:ln>
                <a:noFill/>
              </a:ln>
              <a:pattFill prst="pct5">
                <a:fgClr>
                  <a:schemeClr val="accent1">
                    <a:lumMod val="60000"/>
                    <a:lumOff val="40000"/>
                  </a:schemeClr>
                </a:fgClr>
                <a:bgClr>
                  <a:schemeClr val="bg1"/>
                </a:bgClr>
              </a:pattFill>
              <a:effectLst>
                <a:glow rad="228600">
                  <a:schemeClr val="tx2">
                    <a:lumMod val="40000"/>
                    <a:lumOff val="60000"/>
                    <a:alpha val="40000"/>
                  </a:schemeClr>
                </a:glow>
                <a:outerShdw blurRad="50800" dist="50800" dir="5400000" algn="ctr" rotWithShape="0">
                  <a:schemeClr val="accent3">
                    <a:lumMod val="20000"/>
                    <a:lumOff val="80000"/>
                  </a:schemeClr>
                </a:outerShdw>
              </a:effectLst>
            </a:rPr>
            <a:t>Fund</a:t>
          </a:r>
        </a:p>
      </xdr:txBody>
    </xdr:sp>
    <xdr:clientData/>
  </xdr:twoCellAnchor>
  <xdr:twoCellAnchor>
    <xdr:from>
      <xdr:col>0</xdr:col>
      <xdr:colOff>38099</xdr:colOff>
      <xdr:row>6</xdr:row>
      <xdr:rowOff>156633</xdr:rowOff>
    </xdr:from>
    <xdr:to>
      <xdr:col>0</xdr:col>
      <xdr:colOff>931332</xdr:colOff>
      <xdr:row>8</xdr:row>
      <xdr:rowOff>25500</xdr:rowOff>
    </xdr:to>
    <xdr:sp macro="[0]!GetHistoricalData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9F592256-D606-41F3-B54A-5EACCBCAAF70}"/>
            </a:ext>
          </a:extLst>
        </xdr:cNvPr>
        <xdr:cNvSpPr/>
      </xdr:nvSpPr>
      <xdr:spPr>
        <a:xfrm>
          <a:off x="38099" y="1248833"/>
          <a:ext cx="893233" cy="232934"/>
        </a:xfrm>
        <a:prstGeom prst="roundRect">
          <a:avLst/>
        </a:prstGeom>
        <a:scene3d>
          <a:camera prst="orthographicFront"/>
          <a:lightRig rig="threePt" dir="t"/>
        </a:scene3d>
        <a:sp3d>
          <a:bevelT w="152400" h="50800" prst="softRound"/>
          <a:bevelB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rIns="144000" rtlCol="0" anchor="t"/>
        <a:lstStyle/>
        <a:p>
          <a:pPr algn="l"/>
          <a:r>
            <a:rPr lang="en-US" sz="800" b="1">
              <a:ln>
                <a:noFill/>
              </a:ln>
              <a:pattFill prst="pct5">
                <a:fgClr>
                  <a:schemeClr val="accent1">
                    <a:lumMod val="60000"/>
                    <a:lumOff val="40000"/>
                  </a:schemeClr>
                </a:fgClr>
                <a:bgClr>
                  <a:schemeClr val="bg1"/>
                </a:bgClr>
              </a:pattFill>
              <a:effectLst>
                <a:glow rad="228600">
                  <a:schemeClr val="tx2">
                    <a:lumMod val="40000"/>
                    <a:lumOff val="60000"/>
                    <a:alpha val="40000"/>
                  </a:schemeClr>
                </a:glow>
                <a:outerShdw blurRad="50800" dist="50800" dir="5400000" algn="ctr" rotWithShape="0">
                  <a:schemeClr val="accent3">
                    <a:lumMod val="20000"/>
                    <a:lumOff val="80000"/>
                  </a:schemeClr>
                </a:outerShdw>
              </a:effectLst>
            </a:rPr>
            <a:t>Historical</a:t>
          </a:r>
          <a:r>
            <a:rPr lang="en-US" sz="800" b="1" baseline="0">
              <a:ln>
                <a:noFill/>
              </a:ln>
              <a:pattFill prst="pct5">
                <a:fgClr>
                  <a:schemeClr val="accent1">
                    <a:lumMod val="60000"/>
                    <a:lumOff val="40000"/>
                  </a:schemeClr>
                </a:fgClr>
                <a:bgClr>
                  <a:schemeClr val="bg1"/>
                </a:bgClr>
              </a:pattFill>
              <a:effectLst>
                <a:glow rad="228600">
                  <a:schemeClr val="tx2">
                    <a:lumMod val="40000"/>
                    <a:lumOff val="60000"/>
                    <a:alpha val="40000"/>
                  </a:schemeClr>
                </a:glow>
                <a:outerShdw blurRad="50800" dist="50800" dir="5400000" algn="ctr" rotWithShape="0">
                  <a:schemeClr val="accent3">
                    <a:lumMod val="20000"/>
                    <a:lumOff val="80000"/>
                  </a:schemeClr>
                </a:outerShdw>
              </a:effectLst>
            </a:rPr>
            <a:t> Data</a:t>
          </a:r>
          <a:endParaRPr lang="en-US" sz="800">
            <a:ln>
              <a:noFill/>
            </a:ln>
            <a:pattFill prst="pct5">
              <a:fgClr>
                <a:schemeClr val="accent1">
                  <a:lumMod val="60000"/>
                  <a:lumOff val="40000"/>
                </a:schemeClr>
              </a:fgClr>
              <a:bgClr>
                <a:schemeClr val="bg1"/>
              </a:bgClr>
            </a:pattFill>
            <a:effectLst>
              <a:glow rad="228600">
                <a:schemeClr val="tx2">
                  <a:lumMod val="40000"/>
                  <a:lumOff val="60000"/>
                  <a:alpha val="40000"/>
                </a:schemeClr>
              </a:glow>
              <a:outerShdw blurRad="50800" dist="50800" dir="5400000" algn="ctr" rotWithShape="0">
                <a:schemeClr val="accent3">
                  <a:lumMod val="20000"/>
                  <a:lumOff val="80000"/>
                </a:schemeClr>
              </a:outerShdw>
            </a:effectLst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186267</xdr:colOff>
      <xdr:row>1</xdr:row>
      <xdr:rowOff>55034</xdr:rowOff>
    </xdr:from>
    <xdr:to>
      <xdr:col>2</xdr:col>
      <xdr:colOff>376767</xdr:colOff>
      <xdr:row>1</xdr:row>
      <xdr:rowOff>156634</xdr:rowOff>
    </xdr:to>
    <xdr:sp macro="[0]!IciciPru" textlink="">
      <xdr:nvSpPr>
        <xdr:cNvPr id="2" name="Arrow: Chevron 1">
          <a:extLst>
            <a:ext uri="{FF2B5EF4-FFF2-40B4-BE49-F238E27FC236}">
              <a16:creationId xmlns:a16="http://schemas.microsoft.com/office/drawing/2014/main" id="{D1F18F80-4081-D715-C2CE-3B109A2DA132}"/>
            </a:ext>
          </a:extLst>
        </xdr:cNvPr>
        <xdr:cNvSpPr/>
      </xdr:nvSpPr>
      <xdr:spPr>
        <a:xfrm>
          <a:off x="3627967" y="237067"/>
          <a:ext cx="190500" cy="101600"/>
        </a:xfrm>
        <a:prstGeom prst="chevron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</xdr:col>
      <xdr:colOff>177801</xdr:colOff>
      <xdr:row>2</xdr:row>
      <xdr:rowOff>46566</xdr:rowOff>
    </xdr:from>
    <xdr:to>
      <xdr:col>2</xdr:col>
      <xdr:colOff>368301</xdr:colOff>
      <xdr:row>2</xdr:row>
      <xdr:rowOff>148166</xdr:rowOff>
    </xdr:to>
    <xdr:sp macro="[0]!ParagParikh" textlink="">
      <xdr:nvSpPr>
        <xdr:cNvPr id="3" name="Arrow: Chevron 2">
          <a:extLst>
            <a:ext uri="{FF2B5EF4-FFF2-40B4-BE49-F238E27FC236}">
              <a16:creationId xmlns:a16="http://schemas.microsoft.com/office/drawing/2014/main" id="{BEE79215-F745-4157-A8B3-C98B436FEB0E}"/>
            </a:ext>
          </a:extLst>
        </xdr:cNvPr>
        <xdr:cNvSpPr/>
      </xdr:nvSpPr>
      <xdr:spPr>
        <a:xfrm>
          <a:off x="3619501" y="410633"/>
          <a:ext cx="190500" cy="101600"/>
        </a:xfrm>
        <a:prstGeom prst="chevron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</xdr:col>
      <xdr:colOff>173567</xdr:colOff>
      <xdr:row>3</xdr:row>
      <xdr:rowOff>50800</xdr:rowOff>
    </xdr:from>
    <xdr:to>
      <xdr:col>2</xdr:col>
      <xdr:colOff>364067</xdr:colOff>
      <xdr:row>3</xdr:row>
      <xdr:rowOff>152400</xdr:rowOff>
    </xdr:to>
    <xdr:sp macro="[0]!QuantActive" textlink="">
      <xdr:nvSpPr>
        <xdr:cNvPr id="4" name="Arrow: Chevron 3">
          <a:extLst>
            <a:ext uri="{FF2B5EF4-FFF2-40B4-BE49-F238E27FC236}">
              <a16:creationId xmlns:a16="http://schemas.microsoft.com/office/drawing/2014/main" id="{DD35FE5C-C88D-4DC0-A86A-5E7AF5FA7025}"/>
            </a:ext>
          </a:extLst>
        </xdr:cNvPr>
        <xdr:cNvSpPr/>
      </xdr:nvSpPr>
      <xdr:spPr>
        <a:xfrm>
          <a:off x="3615267" y="596900"/>
          <a:ext cx="190500" cy="101600"/>
        </a:xfrm>
        <a:prstGeom prst="chevron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</xdr:col>
      <xdr:colOff>173566</xdr:colOff>
      <xdr:row>4</xdr:row>
      <xdr:rowOff>42333</xdr:rowOff>
    </xdr:from>
    <xdr:to>
      <xdr:col>2</xdr:col>
      <xdr:colOff>364066</xdr:colOff>
      <xdr:row>4</xdr:row>
      <xdr:rowOff>143933</xdr:rowOff>
    </xdr:to>
    <xdr:sp macro="" textlink="">
      <xdr:nvSpPr>
        <xdr:cNvPr id="5" name="Arrow: Chevron 4">
          <a:extLst>
            <a:ext uri="{FF2B5EF4-FFF2-40B4-BE49-F238E27FC236}">
              <a16:creationId xmlns:a16="http://schemas.microsoft.com/office/drawing/2014/main" id="{F2B371CA-3F7D-4ADB-B488-CC55505E638F}"/>
            </a:ext>
          </a:extLst>
        </xdr:cNvPr>
        <xdr:cNvSpPr/>
      </xdr:nvSpPr>
      <xdr:spPr>
        <a:xfrm>
          <a:off x="3615266" y="770466"/>
          <a:ext cx="190500" cy="101600"/>
        </a:xfrm>
        <a:prstGeom prst="chevron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9F5F77-1D85-4908-AE1E-E56913D8C35E}">
  <sheetPr codeName="Sheet1"/>
  <dimension ref="A1:J8"/>
  <sheetViews>
    <sheetView tabSelected="1" zoomScale="114" zoomScaleNormal="55" workbookViewId="0">
      <selection activeCell="B5" sqref="B5"/>
    </sheetView>
  </sheetViews>
  <sheetFormatPr defaultRowHeight="14.35" x14ac:dyDescent="0.5"/>
  <cols>
    <col min="1" max="1" width="21.9375" bestFit="1" customWidth="1"/>
    <col min="2" max="2" width="36.703125" bestFit="1" customWidth="1"/>
    <col min="6" max="6" width="9.234375" bestFit="1" customWidth="1"/>
    <col min="9" max="9" width="10.05859375" bestFit="1" customWidth="1"/>
  </cols>
  <sheetData>
    <row r="1" spans="1:10" x14ac:dyDescent="0.5">
      <c r="A1" s="5" t="s">
        <v>0</v>
      </c>
      <c r="B1" s="5">
        <v>20000</v>
      </c>
      <c r="D1" t="s">
        <v>13</v>
      </c>
      <c r="F1" s="8">
        <f>((B2/B1)^(1/B3)-1)*100</f>
        <v>22.048570851434345</v>
      </c>
      <c r="G1" t="s">
        <v>18</v>
      </c>
      <c r="I1" t="s">
        <v>16</v>
      </c>
      <c r="J1" t="s">
        <v>19</v>
      </c>
    </row>
    <row r="2" spans="1:10" x14ac:dyDescent="0.5">
      <c r="A2" s="5" t="s">
        <v>1</v>
      </c>
      <c r="B2" s="5">
        <v>7888800</v>
      </c>
    </row>
    <row r="3" spans="1:10" x14ac:dyDescent="0.5">
      <c r="A3" s="5" t="s">
        <v>2</v>
      </c>
      <c r="B3" s="5">
        <v>30</v>
      </c>
    </row>
    <row r="4" spans="1:10" x14ac:dyDescent="0.5">
      <c r="A4" s="5" t="s">
        <v>3</v>
      </c>
      <c r="B4" s="5" t="str">
        <f>IF(AND(F1&gt;=2,F1&lt;=15),"Low",IF(AND(F1&gt;=16,F1&lt;=25),"Medium",IF(AND(F1&gt;=26,F1&lt;=35),"High", "invalid")))</f>
        <v>Medium</v>
      </c>
    </row>
    <row r="5" spans="1:10" x14ac:dyDescent="0.5">
      <c r="A5" s="1"/>
    </row>
    <row r="6" spans="1:10" x14ac:dyDescent="0.5">
      <c r="A6" s="1"/>
      <c r="B6" s="15" t="s">
        <v>20</v>
      </c>
      <c r="C6" s="6"/>
    </row>
    <row r="7" spans="1:10" x14ac:dyDescent="0.5">
      <c r="B7" s="7"/>
      <c r="C7" s="6"/>
    </row>
    <row r="8" spans="1:10" x14ac:dyDescent="0.5">
      <c r="B8" s="6" t="s">
        <v>10</v>
      </c>
      <c r="C8" s="6" t="s">
        <v>11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A3895D-B275-4A38-A284-5454BB757C56}">
  <sheetPr codeName="Sheet3"/>
  <dimension ref="A1:B15"/>
  <sheetViews>
    <sheetView zoomScale="97" workbookViewId="0">
      <selection activeCell="B14" sqref="B14"/>
    </sheetView>
  </sheetViews>
  <sheetFormatPr defaultRowHeight="14.35" x14ac:dyDescent="0.5"/>
  <cols>
    <col min="1" max="1" width="40.5859375" bestFit="1" customWidth="1"/>
    <col min="2" max="2" width="249.3515625" bestFit="1" customWidth="1"/>
  </cols>
  <sheetData>
    <row r="1" spans="1:2" x14ac:dyDescent="0.5">
      <c r="A1" s="11" t="str">
        <f>"Welcome, " &amp; OverView!J1 &amp; "!"</f>
        <v>Welcome, Arpit !</v>
      </c>
      <c r="B1" s="9"/>
    </row>
    <row r="2" spans="1:2" x14ac:dyDescent="0.5">
      <c r="A2" s="11" t="str">
        <f>"Investment Amount: " &amp;OverView!B1</f>
        <v>Investment Amount: 20000</v>
      </c>
      <c r="B2" s="9"/>
    </row>
    <row r="3" spans="1:2" x14ac:dyDescent="0.5">
      <c r="A3" s="11" t="str">
        <f>"Goal Amount: " &amp; OverView!B2</f>
        <v>Goal Amount: 7888800</v>
      </c>
      <c r="B3" s="9"/>
    </row>
    <row r="4" spans="1:2" x14ac:dyDescent="0.5">
      <c r="A4" s="11" t="str">
        <f>"Time Horizon (Years): " &amp; OverView!B3</f>
        <v>Time Horizon (Years): 30</v>
      </c>
      <c r="B4" s="9"/>
    </row>
    <row r="5" spans="1:2" x14ac:dyDescent="0.5">
      <c r="A5" s="11" t="str">
        <f>"Risk Appetite: " &amp; OverView!B4</f>
        <v>Risk Appetite: Medium</v>
      </c>
      <c r="B5" s="9"/>
    </row>
    <row r="6" spans="1:2" x14ac:dyDescent="0.5">
      <c r="A6" s="11" t="str">
        <f>"Expected Return: " &amp; OverView!F1</f>
        <v>Expected Return: 22.0485708514343</v>
      </c>
      <c r="B6" s="9"/>
    </row>
    <row r="7" spans="1:2" x14ac:dyDescent="0.5">
      <c r="A7" s="11" t="str">
        <f>"Suggested Fund: " &amp; OverView!B6</f>
        <v>Suggested Fund: Parag Parikh Long Term Equity Direct Growth</v>
      </c>
      <c r="B7" s="9"/>
    </row>
    <row r="10" spans="1:2" x14ac:dyDescent="0.5">
      <c r="A10" s="14" t="s">
        <v>17</v>
      </c>
      <c r="B10" s="12" t="str">
        <f>"Based on your investment amount of ₹ " &amp; OverView!B1 &amp; "  !"</f>
        <v>Based on your investment amount of ₹ 20000  !</v>
      </c>
    </row>
    <row r="11" spans="1:2" x14ac:dyDescent="0.5">
      <c r="B11" s="13" t="str">
        <f>"Subsequently goal of ₹" &amp; OverView!B2 &amp; " over " &amp; OverView!B3 &amp; " years !"</f>
        <v>Subsequently goal of ₹7888800 over 30 years !</v>
      </c>
    </row>
    <row r="12" spans="1:2" x14ac:dyDescent="0.5">
      <c r="B12" s="12" t="str">
        <f>"We've identified that your current risk appetite is """&amp;OverView!B4&amp;""", as your excpectaion is  """&amp;OverView!F1&amp;""" % Per Year"</f>
        <v>We've identified that your current risk appetite is "Medium", as your excpectaion is  "22.0485708514343" % Per Year</v>
      </c>
    </row>
    <row r="13" spans="1:2" x14ac:dyDescent="0.5">
      <c r="B13" s="12" t="str">
        <f>"Given your risk level, """ &amp; OverView!B6 &amp; """  fund is  recommended  for you ""." &amp; CHAR(10)</f>
        <v xml:space="preserve">Given your risk level, "Parag Parikh Long Term Equity Direct Growth"  fund is  recommended  for you ".
</v>
      </c>
    </row>
    <row r="14" spans="1:2" x14ac:dyDescent="0.5">
      <c r="B14" s="12" t="str">
        <f>"This fund offers  growth as per your goal ."</f>
        <v>This fund offers  growth as per your goal .</v>
      </c>
    </row>
    <row r="15" spans="1:2" x14ac:dyDescent="0.5">
      <c r="B15" s="12" t="str">
        <f>"Thank You "</f>
        <v xml:space="preserve">Thank You 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850489-C316-4AD6-B763-D4BE74C154BD}">
  <sheetPr codeName="Sheet2"/>
  <dimension ref="A1:C5"/>
  <sheetViews>
    <sheetView workbookViewId="0">
      <selection activeCell="E4" sqref="E4"/>
    </sheetView>
  </sheetViews>
  <sheetFormatPr defaultRowHeight="14.35" x14ac:dyDescent="0.5"/>
  <cols>
    <col min="1" max="1" width="11.1171875" bestFit="1" customWidth="1"/>
    <col min="2" max="2" width="36.703125" bestFit="1" customWidth="1"/>
    <col min="3" max="3" width="12.64453125" bestFit="1" customWidth="1"/>
  </cols>
  <sheetData>
    <row r="1" spans="1:3" x14ac:dyDescent="0.5">
      <c r="A1" t="s">
        <v>3</v>
      </c>
      <c r="B1" t="s">
        <v>4</v>
      </c>
      <c r="C1" t="s">
        <v>12</v>
      </c>
    </row>
    <row r="2" spans="1:3" x14ac:dyDescent="0.5">
      <c r="A2" t="s">
        <v>5</v>
      </c>
      <c r="B2" s="4" t="s">
        <v>9</v>
      </c>
    </row>
    <row r="3" spans="1:3" x14ac:dyDescent="0.5">
      <c r="A3" t="s">
        <v>6</v>
      </c>
      <c r="B3" s="3" t="str">
        <f>"Parag Parikh Long Term Equity Direct Growth"</f>
        <v>Parag Parikh Long Term Equity Direct Growth</v>
      </c>
    </row>
    <row r="4" spans="1:3" x14ac:dyDescent="0.5">
      <c r="A4" t="s">
        <v>7</v>
      </c>
      <c r="B4" s="2" t="s">
        <v>8</v>
      </c>
    </row>
    <row r="5" spans="1:3" x14ac:dyDescent="0.5">
      <c r="A5" t="s">
        <v>14</v>
      </c>
      <c r="B5" s="10" t="s">
        <v>15</v>
      </c>
    </row>
  </sheetData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E6722C9-69E1-4DE7-99D0-4CC2A872A78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OverView</vt:lpstr>
      <vt:lpstr>Dash_Board</vt:lpstr>
      <vt:lpstr>Funds</vt:lpstr>
      <vt:lpstr>FundSuggestions</vt:lpstr>
      <vt:lpstr>Goal_Amount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Hirak Kalita</dc:creator>
  <cp:lastModifiedBy>Hirak Kalita</cp:lastModifiedBy>
  <dcterms:created xsi:type="dcterms:W3CDTF">2024-09-15T11:33:40Z</dcterms:created>
  <dcterms:modified xsi:type="dcterms:W3CDTF">2024-09-16T07:09:19Z</dcterms:modified>
</cp:coreProperties>
</file>